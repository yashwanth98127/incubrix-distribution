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0_Start_Here" sheetId="1" state="visible" r:id="rId1"/>
    <sheet name="1_Your_Details" sheetId="2" state="visible" r:id="rId2"/>
    <sheet name="2_Must_haves" sheetId="3" state="visible" r:id="rId3"/>
    <sheet name="3_Levels" sheetId="4" state="visible" r:id="rId4"/>
    <sheet name="4_Integration" sheetId="5" state="visible" r:id="rId5"/>
    <sheet name="5_Metrics" sheetId="6" state="visible" r:id="rId6"/>
    <sheet name="6_Hard_cases" sheetId="7" state="visible" r:id="rId7"/>
    <sheet name="7_Declaration"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color rgb="FFFFFFFF"/>
      <sz val="10"/>
    </font>
    <font>
      <name val="Arial"/>
      <charset val="1"/>
      <family val="0"/>
      <b val="1"/>
      <color rgb="FFFFFFFF"/>
      <sz val="10"/>
    </font>
    <font>
      <name val="Arial"/>
      <charset val="1"/>
      <family val="0"/>
      <color rgb="FF14212B"/>
      <sz val="10"/>
    </font>
    <font>
      <name val="Arial"/>
      <charset val="1"/>
      <family val="0"/>
      <b val="1"/>
      <color rgb="FF14212B"/>
      <sz val="10"/>
    </font>
    <font>
      <name val="Arial"/>
      <charset val="1"/>
      <family val="0"/>
      <i val="1"/>
      <color rgb="FF5B6B78"/>
      <sz val="10"/>
    </font>
  </fonts>
  <fills count="8">
    <fill>
      <patternFill/>
    </fill>
    <fill>
      <patternFill patternType="gray125"/>
    </fill>
    <fill>
      <patternFill patternType="solid">
        <fgColor rgb="FF0B1B2B"/>
        <bgColor rgb="FF14212B"/>
      </patternFill>
    </fill>
    <fill>
      <patternFill patternType="solid">
        <fgColor rgb="FF008F8A"/>
        <bgColor rgb="FF008080"/>
      </patternFill>
    </fill>
    <fill>
      <patternFill patternType="solid">
        <fgColor rgb="FFF3F5F7"/>
        <bgColor rgb="FFE7F5F3"/>
      </patternFill>
    </fill>
    <fill>
      <patternFill patternType="solid">
        <fgColor rgb="FF12324D"/>
        <bgColor rgb="FF14212B"/>
      </patternFill>
    </fill>
    <fill>
      <patternFill patternType="solid">
        <fgColor rgb="FFE7F5F3"/>
        <bgColor rgb="FFF3F5F7"/>
      </patternFill>
    </fill>
    <fill>
      <patternFill patternType="solid">
        <fgColor rgb="FFFFF4C7"/>
        <bgColor rgb="FFF3F5F7"/>
      </patternFill>
    </fill>
  </fills>
  <borders count="7">
    <border>
      <left/>
      <right/>
      <top/>
      <bottom/>
      <diagonal/>
    </border>
    <border>
      <left style="thin">
        <color rgb="FFD5DDE3"/>
      </left>
      <right/>
      <top style="thin">
        <color rgb="FFD5DDE3"/>
      </top>
      <bottom style="thin">
        <color rgb="FFD5DDE3"/>
      </bottom>
      <diagonal/>
    </border>
    <border>
      <left style="thin">
        <color rgb="FFD5DDE3"/>
      </left>
      <right style="thin">
        <color rgb="FFD5DDE3"/>
      </right>
      <top style="thin">
        <color rgb="FFD5DDE3"/>
      </top>
      <bottom style="thin">
        <color rgb="FFD5DDE3"/>
      </bottom>
      <diagonal/>
    </border>
    <border>
      <left/>
      <right/>
      <top style="thin">
        <color rgb="FFD5DDE3"/>
      </top>
      <bottom/>
      <diagonal/>
    </border>
    <border>
      <left/>
      <right/>
      <top style="thin">
        <color rgb="FFD5DDE3"/>
      </top>
      <bottom style="thin">
        <color rgb="FFD5DDE3"/>
      </bottom>
      <diagonal/>
    </border>
    <border>
      <left/>
      <right style="thin">
        <color rgb="FFD5DDE3"/>
      </right>
      <top style="thin">
        <color rgb="FFD5DDE3"/>
      </top>
      <bottom/>
      <diagonal/>
    </border>
    <border>
      <left/>
      <right style="thin">
        <color rgb="FFD5DDE3"/>
      </right>
      <top style="thin">
        <color rgb="FFD5DDE3"/>
      </top>
      <bottom style="thin">
        <color rgb="FFD5DD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3" borderId="2" applyAlignment="1" pivotButton="0" quotePrefix="0" xfId="0">
      <alignment horizontal="general" vertical="top" wrapText="1"/>
    </xf>
    <xf numFmtId="0" fontId="7" fillId="0" borderId="2" applyAlignment="1" pivotButton="0" quotePrefix="0" xfId="0">
      <alignment horizontal="general" vertical="top" wrapText="1"/>
    </xf>
    <xf numFmtId="0" fontId="8" fillId="4" borderId="2" applyAlignment="1" pivotButton="0" quotePrefix="0" xfId="0">
      <alignment horizontal="general" vertical="top" wrapText="1"/>
    </xf>
    <xf numFmtId="0" fontId="6" fillId="5" borderId="2" applyAlignment="1" pivotButton="0" quotePrefix="0" xfId="0">
      <alignment horizontal="general" vertical="top" wrapText="1"/>
    </xf>
    <xf numFmtId="0" fontId="7" fillId="5" borderId="2" applyAlignment="1" pivotButton="0" quotePrefix="0" xfId="0">
      <alignment horizontal="general" vertical="top" wrapText="1"/>
    </xf>
    <xf numFmtId="0" fontId="8" fillId="6" borderId="2" applyAlignment="1" pivotButton="0" quotePrefix="0" xfId="0">
      <alignment horizontal="general" vertical="top" wrapText="1"/>
    </xf>
    <xf numFmtId="0" fontId="7" fillId="7" borderId="1" applyAlignment="1" pivotButton="0" quotePrefix="0" xfId="0">
      <alignment horizontal="general" vertical="top" wrapText="1"/>
    </xf>
    <xf numFmtId="0" fontId="7" fillId="7" borderId="2" applyAlignment="1" pivotButton="0" quotePrefix="0" xfId="0">
      <alignment horizontal="general" vertical="top" wrapText="1"/>
    </xf>
    <xf numFmtId="0" fontId="9" fillId="4" borderId="2"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5" fillId="3" borderId="1" applyAlignment="1" pivotButton="0" quotePrefix="0" xfId="0">
      <alignment horizontal="general" vertical="top" wrapText="1"/>
    </xf>
    <xf numFmtId="0" fontId="6" fillId="3" borderId="2" applyAlignment="1" pivotButton="0" quotePrefix="0" xfId="0">
      <alignment horizontal="general" vertical="top" wrapText="1"/>
    </xf>
    <xf numFmtId="0" fontId="7" fillId="0" borderId="2" applyAlignment="1" pivotButton="0" quotePrefix="0" xfId="0">
      <alignment horizontal="general" vertical="top" wrapText="1"/>
    </xf>
    <xf numFmtId="0" fontId="8" fillId="4" borderId="2" applyAlignment="1" pivotButton="0" quotePrefix="0" xfId="0">
      <alignment horizontal="general" vertical="top" wrapText="1"/>
    </xf>
    <xf numFmtId="0" fontId="6" fillId="5" borderId="2" applyAlignment="1" pivotButton="0" quotePrefix="0" xfId="0">
      <alignment horizontal="general" vertical="top" wrapText="1"/>
    </xf>
    <xf numFmtId="0" fontId="7" fillId="5" borderId="2" applyAlignment="1" pivotButton="0" quotePrefix="0" xfId="0">
      <alignment horizontal="general" vertical="top" wrapText="1"/>
    </xf>
    <xf numFmtId="0" fontId="8" fillId="6" borderId="2" applyAlignment="1" pivotButton="0" quotePrefix="0" xfId="0">
      <alignment horizontal="general" vertical="top" wrapText="1"/>
    </xf>
    <xf numFmtId="0" fontId="7" fillId="7" borderId="1" applyAlignment="1" pivotButton="0" quotePrefix="0" xfId="0">
      <alignment horizontal="general" vertical="top" wrapText="1"/>
    </xf>
    <xf numFmtId="0" fontId="7" fillId="7" borderId="2" applyAlignment="1" pivotButton="0" quotePrefix="0" xfId="0">
      <alignment horizontal="general" vertical="top" wrapText="1"/>
    </xf>
    <xf numFmtId="0" fontId="9" fillId="4" borderId="2" applyAlignment="1" pivotButton="0" quotePrefix="0" xfId="0">
      <alignment horizontal="general" vertical="top" wrapText="1"/>
    </xf>
    <xf numFmtId="0" fontId="0" fillId="0" borderId="6"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F8A"/>
      <rgbColor rgb="FFC0C0C0"/>
      <rgbColor rgb="FF808080"/>
      <rgbColor rgb="FF9999FF"/>
      <rgbColor rgb="FF993366"/>
      <rgbColor rgb="FFFFF4C7"/>
      <rgbColor rgb="FFE7F5F3"/>
      <rgbColor rgb="FF660066"/>
      <rgbColor rgb="FFFF8080"/>
      <rgbColor rgb="FF0066CC"/>
      <rgbColor rgb="FFD5DDE3"/>
      <rgbColor rgb="FF000080"/>
      <rgbColor rgb="FFFF00FF"/>
      <rgbColor rgb="FFFFFF00"/>
      <rgbColor rgb="FF00FFFF"/>
      <rgbColor rgb="FF800080"/>
      <rgbColor rgb="FF800000"/>
      <rgbColor rgb="FF008080"/>
      <rgbColor rgb="FF0000FF"/>
      <rgbColor rgb="FF00CCFF"/>
      <rgbColor rgb="FFF3F5F7"/>
      <rgbColor rgb="FFCCFFCC"/>
      <rgbColor rgb="FFFFFF99"/>
      <rgbColor rgb="FF99CCFF"/>
      <rgbColor rgb="FFFF99CC"/>
      <rgbColor rgb="FFCC99FF"/>
      <rgbColor rgb="FFFFCC99"/>
      <rgbColor rgb="FF3366FF"/>
      <rgbColor rgb="FF33CCCC"/>
      <rgbColor rgb="FF99CC00"/>
      <rgbColor rgb="FFFFCC00"/>
      <rgbColor rgb="FFFF9900"/>
      <rgbColor rgb="FFFF6600"/>
      <rgbColor rgb="FF5B6B78"/>
      <rgbColor rgb="FF969696"/>
      <rgbColor rgb="FF12324D"/>
      <rgbColor rgb="FF339966"/>
      <rgbColor rgb="FF0B1B2B"/>
      <rgbColor rgb="FF333300"/>
      <rgbColor rgb="FF993300"/>
      <rgbColor rgb="FF993366"/>
      <rgbColor rgb="FF333399"/>
      <rgbColor rgb="FF1421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2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12" min="1" max="1"/>
    <col width="96" customWidth="1" style="12" min="2" max="2"/>
    <col width="16" customWidth="1" style="12" min="3" max="3"/>
  </cols>
  <sheetData>
    <row r="1" ht="24" customHeight="1" s="13">
      <c r="A1" s="14" t="inlineStr">
        <is>
          <t>IncuBrix Engineering Assessment 4 | Distribution: Long-Tail Destination Network | Submission Form</t>
        </is>
      </c>
      <c r="B1" s="15" t="n"/>
      <c r="C1" s="15" t="n"/>
    </row>
    <row r="2" ht="31.5" customHeight="1" s="13">
      <c r="A2" s="16" t="inlineStr">
        <is>
          <t>This form is how you show us what you built. Fill it as you work. We verify every claim, so be precise.</t>
        </is>
      </c>
      <c r="B2" s="15" t="n"/>
      <c r="C2" s="15" t="n"/>
    </row>
    <row r="4" ht="19.5" customHeight="1" s="13">
      <c r="A4" s="17" t="n">
        <v>1</v>
      </c>
      <c r="B4" s="18" t="inlineStr">
        <is>
          <t>Read the assessment brief (PDF) first.</t>
        </is>
      </c>
    </row>
    <row r="5" ht="19.5" customHeight="1" s="13">
      <c r="A5" s="17" t="n">
        <v>2</v>
      </c>
      <c r="B5" s="18" t="inlineStr">
        <is>
          <t>1_Your_Details: your contact details and all links.</t>
        </is>
      </c>
    </row>
    <row r="6" ht="19.5" customHeight="1" s="13">
      <c r="A6" s="17" t="n">
        <v>3</v>
      </c>
      <c r="B6" s="18" t="inlineStr">
        <is>
          <t>2_Must_haves: mark each must-have Yes or No with evidence. Every one must pass to be selected.</t>
        </is>
      </c>
    </row>
    <row r="7" ht="19.5" customHeight="1" s="13">
      <c r="A7" s="17" t="n">
        <v>4</v>
      </c>
      <c r="B7" s="18" t="inlineStr">
        <is>
          <t>3_Levels: mark each item Yes / Partial / No with evidence. The level you reached is calculated for you.</t>
        </is>
      </c>
    </row>
    <row r="8" ht="19.5" customHeight="1" s="13">
      <c r="A8" s="17" t="n">
        <v>5</v>
      </c>
      <c r="B8" s="18" t="inlineStr">
        <is>
          <t>4_Integration: mark each Integration Standard point with evidence.</t>
        </is>
      </c>
    </row>
    <row r="9" ht="19.5" customHeight="1" s="13">
      <c r="A9" s="17" t="n">
        <v>6</v>
      </c>
      <c r="B9" s="18" t="inlineStr">
        <is>
          <t>5_Metrics: enter your measured numbers.  6_Hard_cases: say how your system handles each situation.</t>
        </is>
      </c>
    </row>
    <row r="10" ht="19.5" customHeight="1" s="13">
      <c r="A10" s="17" t="n">
        <v>7</v>
      </c>
      <c r="B10" s="18" t="inlineStr">
        <is>
          <t>7_Declaration: answer every statement and sign.</t>
        </is>
      </c>
    </row>
    <row r="11" ht="19.5" customHeight="1" s="13">
      <c r="A11" s="17" t="n">
        <v>8</v>
      </c>
      <c r="B11" s="18" t="inlineStr">
        <is>
          <t>Save as Assessment4_YourName.xlsx and attach it to your reply to the invitation email before the deadline.</t>
        </is>
      </c>
    </row>
    <row r="13" ht="15" customHeight="1" s="13">
      <c r="B13" s="19" t="inlineStr">
        <is>
          <t>Colour key: YELLOW = you fill in.  GREEN = calculated automatically.  GREY = instructions or example.</t>
        </is>
      </c>
    </row>
    <row r="15" ht="15" customHeight="1" s="13">
      <c r="B15" s="20" t="inlineStr">
        <is>
          <t>Your self-check (updates as you fill the form)</t>
        </is>
      </c>
      <c r="C15" s="21" t="n"/>
    </row>
    <row r="16" ht="15" customHeight="1" s="13">
      <c r="B16" s="19" t="inlineStr">
        <is>
          <t>Must-haves marked Yes</t>
        </is>
      </c>
      <c r="C16" s="22">
        <f>COUNTIF(2_Must_haves!C6:C14,"Yes")&amp;" of 9"</f>
        <v/>
      </c>
    </row>
    <row r="17" ht="15" customHeight="1" s="13">
      <c r="B17" s="19" t="inlineStr">
        <is>
          <t>Level reached</t>
        </is>
      </c>
      <c r="C17" s="22">
        <f>3_Levels!C18</f>
        <v/>
      </c>
    </row>
    <row r="18" ht="15" customHeight="1" s="13">
      <c r="B18" s="19" t="inlineStr">
        <is>
          <t>Level marks claimed (40)</t>
        </is>
      </c>
      <c r="C18" s="22">
        <f>3_Levels!C19</f>
        <v/>
      </c>
    </row>
    <row r="19" ht="15" customHeight="1" s="13">
      <c r="B19" s="19" t="inlineStr">
        <is>
          <t>Integration marks claimed (20)</t>
        </is>
      </c>
      <c r="C19" s="22">
        <f>4_Integration!C15</f>
        <v/>
      </c>
    </row>
    <row r="20" ht="15" customHeight="1" s="13">
      <c r="B20" s="19" t="inlineStr">
        <is>
          <t>Self-assessed marks before our checks (60)</t>
        </is>
      </c>
      <c r="C20" s="22">
        <f>3_Levels!C19+4_Integration!C15</f>
        <v/>
      </c>
    </row>
    <row r="22" ht="43.5" customHeight="1" s="13">
      <c r="B22" s="23" t="inlineStr">
        <is>
          <t>We then verify your claims and add up to 20 marks for 5 hidden tests (screening total 80). Candidates with all must-haves verified and 60+ in screening are invited to a live session worth 20 marks. A claim without evidence scores 0; a false claim disqualifies the submission.</t>
        </is>
      </c>
      <c r="C22" s="15" t="n"/>
    </row>
  </sheetData>
  <mergeCells count="3">
    <mergeCell ref="A1:C1"/>
    <mergeCell ref="B22:C22"/>
    <mergeCell ref="A2:C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70" customWidth="1" style="12" min="2" max="2"/>
  </cols>
  <sheetData>
    <row r="1" ht="24" customHeight="1" s="13">
      <c r="A1" s="14" t="inlineStr">
        <is>
          <t>IncuBrix Assessment 4 | Submission Form | Distribution: Long-Tail Destination Network</t>
        </is>
      </c>
      <c r="B1" s="15" t="n"/>
    </row>
    <row r="2" ht="31.5" customHeight="1" s="13">
      <c r="A2" s="16" t="inlineStr">
        <is>
          <t>Fill every YELLOW cell. Put links to evidence (repo path, output file, log, demo-video timestamp or URL) next to every claim. Save as Assessment4_&lt;YourName&gt;.xlsx and attach it to your reply email.</t>
        </is>
      </c>
      <c r="B2" s="15" t="n"/>
    </row>
    <row r="3"/>
    <row r="4" ht="19.5" customHeight="1" s="13">
      <c r="A4" s="19" t="inlineStr">
        <is>
          <t>Full name</t>
        </is>
      </c>
      <c r="B4" s="24" t="inlineStr">
        <is>
          <t>Pramoodh Yashwanth T A</t>
        </is>
      </c>
    </row>
    <row r="5" ht="19.5" customHeight="1" s="13">
      <c r="A5" s="19" t="inlineStr">
        <is>
          <t>Email</t>
        </is>
      </c>
      <c r="B5" s="24" t="inlineStr">
        <is>
          <t>jamunadevi@student.tce.edu</t>
        </is>
      </c>
    </row>
    <row r="6" ht="19.5" customHeight="1" s="13">
      <c r="A6" s="19" t="inlineStr">
        <is>
          <t>Phone</t>
        </is>
      </c>
      <c r="B6" s="24" t="inlineStr">
        <is>
          <t>8056395125</t>
        </is>
      </c>
    </row>
    <row r="7" ht="19.5" customHeight="1" s="13">
      <c r="A7" s="19" t="inlineStr">
        <is>
          <t>College and degree</t>
        </is>
      </c>
      <c r="B7" s="24" t="inlineStr">
        <is>
          <t>Thiagarajar College of Engineering, Madurai -- B.E. CSE</t>
        </is>
      </c>
    </row>
    <row r="8" ht="19.5" customHeight="1" s="13">
      <c r="A8" s="19" t="inlineStr">
        <is>
          <t>Graduation year</t>
        </is>
      </c>
      <c r="B8" s="24" t="inlineStr">
        <is>
          <t>Final year (CSE IV year)</t>
        </is>
      </c>
    </row>
    <row r="9" ht="19.5" customHeight="1" s="13">
      <c r="A9" s="19" t="inlineStr">
        <is>
          <t>Live demo URL</t>
        </is>
      </c>
      <c r="B9" s="24" t="inlineStr">
        <is>
          <t>TODO: deploy and fill in (see README Quickstart; docker compose up runs it locally meanwhile)</t>
        </is>
      </c>
    </row>
    <row r="10" ht="19.5" customHeight="1" s="13">
      <c r="A10" s="19" t="inlineStr">
        <is>
          <t>Live demo access token or login (if protected)</t>
        </is>
      </c>
      <c r="B10" s="24" t="inlineStr">
        <is>
          <t>TODO: fill in if you add one</t>
        </is>
      </c>
    </row>
    <row r="11" ht="19.5" customHeight="1" s="13">
      <c r="A11" s="19" t="inlineStr">
        <is>
          <t>Cold-start wait time (if any)</t>
        </is>
      </c>
      <c r="B11" s="24" t="inlineStr">
        <is>
          <t>None measured locally (in-process sqlite + mock servers start in &lt;2s)</t>
        </is>
      </c>
    </row>
    <row r="12" ht="19.5" customHeight="1" s="13">
      <c r="A12" s="19" t="inlineStr">
        <is>
          <t>Repository URL (private, reviewer invited)</t>
        </is>
      </c>
      <c r="B12" s="24" t="inlineStr">
        <is>
          <t>TODO: push this repo to a private GitHub repo and invite the reviewer username from the invitation email</t>
        </is>
      </c>
    </row>
    <row r="13" ht="19.5" customHeight="1" s="13">
      <c r="A13" s="19" t="inlineStr">
        <is>
          <t>Demo video URL (max 8 min, unedited)</t>
        </is>
      </c>
      <c r="B13" s="24" t="inlineStr">
        <is>
          <t>TODO: record and fill in</t>
        </is>
      </c>
    </row>
    <row r="14" ht="19.5" customHeight="1" s="13">
      <c r="A14" s="19" t="inlineStr">
        <is>
          <t>REPORT.md link</t>
        </is>
      </c>
      <c r="B14" s="24" t="inlineStr">
        <is>
          <t>REPORT.md (repo root)</t>
        </is>
      </c>
    </row>
    <row r="15" ht="19.5" customHeight="1" s="13">
      <c r="A15" s="19" t="inlineStr">
        <is>
          <t>Compute used (laptop / cloud / GPU, with specs)</t>
        </is>
      </c>
      <c r="B15" s="24" t="inlineStr">
        <is>
          <t>Cloud dev container (Claude Code workspace), no GPU needed</t>
        </is>
      </c>
    </row>
    <row r="16" ht="19.5" customHeight="1" s="13">
      <c r="A16" s="19" t="inlineStr">
        <is>
          <t>Paid services used and total cost</t>
        </is>
      </c>
      <c r="B16" s="24" t="inlineStr">
        <is>
          <t>None -- default path uses SIMULATION_MODE=true, AI_PROVIDER=mock, $0 total</t>
        </is>
      </c>
    </row>
    <row r="17" ht="19.5" customHeight="1" s="13">
      <c r="A17" s="19" t="inlineStr">
        <is>
          <t>AI coding tools used (details in AI_USE.md)</t>
        </is>
      </c>
      <c r="B17" s="24" t="inlineStr">
        <is>
          <t>Claude (claude-sonnet-5) via Claude Code -- see AI_USE.md</t>
        </is>
      </c>
    </row>
    <row r="18" ht="19.5" customHeight="1" s="13">
      <c r="A18" s="19" t="inlineStr">
        <is>
          <t>Approximate hours spent</t>
        </is>
      </c>
      <c r="B18" s="24" t="inlineStr">
        <is>
          <t>12 hours</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60" customWidth="1" style="12" min="2" max="2"/>
    <col width="10" customWidth="1" style="12" min="3" max="3"/>
    <col width="50" customWidth="1" style="12" min="4" max="4"/>
    <col width="36" customWidth="1" style="12" min="5" max="5"/>
  </cols>
  <sheetData>
    <row r="1" ht="24" customHeight="1" s="13">
      <c r="A1" s="14" t="inlineStr">
        <is>
          <t>Must-haves - every one must pass</t>
        </is>
      </c>
      <c r="B1" s="15" t="n"/>
      <c r="C1" s="15" t="n"/>
      <c r="D1" s="15" t="n"/>
      <c r="E1" s="15" t="n"/>
    </row>
    <row r="2" ht="31.5" customHeight="1" s="13">
      <c r="A2" s="16" t="inlineStr">
        <is>
          <t>Mark Met = Yes only if it fully works. Give links that let us check it in minutes.</t>
        </is>
      </c>
      <c r="B2" s="15" t="n"/>
      <c r="C2" s="15" t="n"/>
      <c r="D2" s="15" t="n"/>
      <c r="E2" s="15" t="n"/>
    </row>
    <row r="4" ht="30" customHeight="1" s="13">
      <c r="A4" s="20" t="inlineStr">
        <is>
          <t>#</t>
        </is>
      </c>
      <c r="B4" s="20" t="inlineStr">
        <is>
          <t>Must-have</t>
        </is>
      </c>
      <c r="C4" s="20" t="inlineStr">
        <is>
          <t>Met?</t>
        </is>
      </c>
      <c r="D4" s="20" t="inlineStr">
        <is>
          <t>Evidence links (files, logs, tests, video timestamp)</t>
        </is>
      </c>
      <c r="E4" s="20" t="inlineStr">
        <is>
          <t>Notes / limits</t>
        </is>
      </c>
    </row>
    <row r="5" ht="23.85" customHeight="1" s="13">
      <c r="A5" s="25" t="inlineStr">
        <is>
          <t>Ex.</t>
        </is>
      </c>
      <c r="B5" s="25" t="inlineStr">
        <is>
          <t>Example row - shows the expected format (do not edit)</t>
        </is>
      </c>
      <c r="C5" s="25" t="inlineStr">
        <is>
          <t>Yes</t>
        </is>
      </c>
      <c r="D5" s="25" t="inlineStr">
        <is>
          <t>repo/tests/test_length.py ; outputs/run_07/manifest.json ; demo video 02:15</t>
        </is>
      </c>
      <c r="E5" s="25" t="inlineStr">
        <is>
          <t>Fails above 290 s - see REPORT.md section 4</t>
        </is>
      </c>
    </row>
    <row r="6" ht="42" customHeight="1" s="13">
      <c r="A6" s="18" t="n">
        <v>1</v>
      </c>
      <c r="B6" s="18" t="inlineStr">
        <is>
          <t>Exact connector contract. Every connector implements the methods, manifest and error codes in Appendix A.
We verify: Our contract test suite runs against your service.</t>
        </is>
      </c>
      <c r="C6" s="24" t="inlineStr">
        <is>
          <t>Yes</t>
        </is>
      </c>
      <c r="D6" s="24" t="inlineStr">
        <is>
          <t>app/connectors/base.py, app/connectors/*.py, app/routes/connector_routes.py ; tests/test_contract_shapes.py (6/6 connector manifests + roundtrips pass) ; test_pack/outputs/pytest_full_run.log</t>
        </is>
      </c>
      <c r="E6" s="24" t="inlineStr"/>
    </row>
    <row r="7" ht="97.5" customHeight="1" s="13">
      <c r="A7" s="18" t="n">
        <v>2</v>
      </c>
      <c r="B7" s="18" t="inlineStr">
        <is>
          <t>Six Core connectors certified: Discourse, Lemmy, Dev.to, Ghost, a generic signed webhook (HMAC) for partner sites, and an assisted connector that builds a ready-to-post pack (media, text, link, rules checklist, submit link) where automation is not allowed.
We verify: Certification evidence plus our own runs against the local test instances.</t>
        </is>
      </c>
      <c r="C7" s="24" t="inlineStr">
        <is>
          <t>Partial</t>
        </is>
      </c>
      <c r="D7" s="24" t="inlineStr">
        <is>
          <t>tests/test_certification.py (Discourse + assisted certify green) ; test_pack/outputs/certify_discourse.result.json ; app/connectors/lemmy.py, ghost.py</t>
        </is>
      </c>
      <c r="E7" s="24" t="inlineStr">
        <is>
          <t>Discourse, Dev.to, webhook, assisted certified live via automated tests. Lemmy/Ghost connectors are fully implemented against the real Lemmy v3 / Ghost Admin APIs and docker-compose starts real local instances, but this dev sandbox's network policy blocks Docker Hub image pulls, so I could not run a live cert against them from here. See REPORT.md 'What's implemented but not live-verified'.</t>
        </is>
      </c>
    </row>
    <row r="8" ht="42" customHeight="1" s="13">
      <c r="A8" s="18" t="n">
        <v>3</v>
      </c>
      <c r="B8" s="18" t="inlineStr">
        <is>
          <t>Configuration, not code. Adding another forum, community or site of a supported type is one catalogue row.
We verify: We add a new instance during review.</t>
        </is>
      </c>
      <c r="C8" s="24" t="inlineStr">
        <is>
          <t>Yes</t>
        </is>
      </c>
      <c r="D8" s="24" t="inlineStr">
        <is>
          <t>app/routes/destinations_routes.py (POST /api/v1/destinations = one row, no code change)</t>
        </is>
      </c>
      <c r="E8" s="24" t="inlineStr"/>
    </row>
    <row r="9" ht="69.75" customHeight="1" s="13">
      <c r="A9" s="18" t="n">
        <v>4</v>
      </c>
      <c r="B9" s="18" t="inlineStr">
        <is>
          <t>Rules checked before every post: frequency cap, self-promotion policy, link policy and AI-content disclosure. A post that breaks a rule is blocked or rescheduled with a reason.
We verify: We send a second post inside a weekly cap and a promotional post to a no-promotion destination.</t>
        </is>
      </c>
      <c r="C9" s="24" t="inlineStr">
        <is>
          <t>Yes</t>
        </is>
      </c>
      <c r="D9" s="24" t="inlineStr">
        <is>
          <t>app/core/rules.py ; tests/test_rules_engine.py, tests/test_hard_cases.py (frequency cap + no-promo destination both tested and blocked)</t>
        </is>
      </c>
      <c r="E9" s="24" t="inlineStr"/>
    </row>
    <row r="10" ht="84" customHeight="1" s="13">
      <c r="A10" s="18" t="n">
        <v>5</v>
      </c>
      <c r="B10" s="18" t="inlineStr">
        <is>
          <t>Never spam, never cheat. Test posts go only to your own test instances or agreed sandbox areas, and are deleted within 10 minutes. No fake accounts, no scraping where it is not allowed, and platform rate limits respected (back off on 429 using the reset time).
We verify: We review your logs, code and evidence.</t>
        </is>
      </c>
      <c r="C10" s="24" t="inlineStr">
        <is>
          <t>Yes</t>
        </is>
      </c>
      <c r="D10" s="24" t="inlineStr">
        <is>
          <t>app/core/certification.py deletes test posts immediately after status check (well under 10 min, see tests/test_certification.py::test_certification_cleanup_happens_quickly) ; SIMULATION_MODE=true by default, no real accounts; rate limits respected via app/connectors/http_util.py backoff</t>
        </is>
      </c>
      <c r="E10" s="24" t="inlineStr"/>
    </row>
    <row r="11" ht="42" customHeight="1" s="13">
      <c r="A11" s="18" t="n">
        <v>6</v>
      </c>
      <c r="B11" s="18" t="inlineStr">
        <is>
          <t>Safe retries. The same idempotency key never creates a second post, even after a timeout.
We verify: We force a timeout and retry.</t>
        </is>
      </c>
      <c r="C11" s="24" t="inlineStr">
        <is>
          <t>Yes</t>
        </is>
      </c>
      <c r="D11" s="24" t="inlineStr">
        <is>
          <t>app/core/idempotency.py, app/core/publish_service.py ; tests/test_hard_cases.py::test_timeout_then_retry_with_same_idempotency_key_succeeds_once</t>
        </is>
      </c>
      <c r="E11" s="24" t="inlineStr"/>
    </row>
    <row r="12" ht="69.75" customHeight="1" s="13">
      <c r="A12" s="18" t="n">
        <v>7</v>
      </c>
      <c r="B12" s="18" t="inlineStr">
        <is>
          <t>Secrets protected and simulation mode. Tokens never appear in logs or the repository; a simulation mode with mock platforms lets everything run with no real accounts.
We verify: We search logs and the repository; we run in simulation mode.</t>
        </is>
      </c>
      <c r="C12" s="24" t="inlineStr">
        <is>
          <t>Yes</t>
        </is>
      </c>
      <c r="D12" s="24" t="inlineStr">
        <is>
          <t>.env.example (no real secrets committed) ; SIMULATION_MODE=true default ; app/core/logging.py never logs request bodies/headers with tokens</t>
        </is>
      </c>
      <c r="E12" s="24" t="inlineStr"/>
    </row>
    <row r="13" ht="55.5" customHeight="1" s="13">
      <c r="A13" s="18" t="n">
        <v>8</v>
      </c>
      <c r="B13" s="18" t="inlineStr">
        <is>
          <t>Local test instances. docker compose up starts your service plus local Lemmy and Ghost instances (and mock servers for the rest) so we can run real posts end to end.
We verify: We run your compose file on a clean machine.</t>
        </is>
      </c>
      <c r="C13" s="24" t="inlineStr">
        <is>
          <t>Partial</t>
        </is>
      </c>
      <c r="D13" s="24" t="inlineStr">
        <is>
          <t>docker-compose.yml (app, mock-platforms, minio, real lemmy+lemmy-db, real ghost)</t>
        </is>
      </c>
      <c r="E13" s="24" t="inlineStr">
        <is>
          <t>Compose file is complete and correct by review, but could not be run end-to-end in this sandbox (Docker Hub pulls blocked by network policy here). ./scripts/run_tests.sh is the one-command path that IS verified (boots its own mock server, no docker needed, 42/42 tests pass).</t>
        </is>
      </c>
    </row>
    <row r="14" ht="42" customHeight="1" s="13">
      <c r="A14" s="18" t="n">
        <v>9</v>
      </c>
      <c r="B14" s="18" t="inlineStr">
        <is>
          <t>Integration Standard followed and the live demo works for the whole review period.
We verify: See the Integration Standard section.</t>
        </is>
      </c>
      <c r="C14" s="24" t="inlineStr">
        <is>
          <t>Partial</t>
        </is>
      </c>
      <c r="D14" s="24" t="inlineStr">
        <is>
          <t>openapi.yaml ; app/main.py (/health, /ready, error envelope, correlation IDs)</t>
        </is>
      </c>
      <c r="E14" s="24" t="inlineStr">
        <is>
          <t>Integration Standard code is implemented and unit/integration-tested; live demo URL not deployed yet (see 1_Your_Details).</t>
        </is>
      </c>
    </row>
  </sheetData>
  <mergeCells count="2">
    <mergeCell ref="A2:E2"/>
    <mergeCell ref="A1:E1"/>
  </mergeCells>
  <dataValidations count="1">
    <dataValidation sqref="C6:C14"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62" customWidth="1" style="12" min="2" max="2"/>
    <col width="11" customWidth="1" style="12" min="3" max="3"/>
    <col width="44" customWidth="1" style="12" min="4" max="4"/>
    <col width="34" customWidth="1" style="12" min="5" max="5"/>
  </cols>
  <sheetData>
    <row r="1" ht="24" customHeight="1" s="13">
      <c r="A1" s="14" t="inlineStr">
        <is>
          <t>Levels you reached</t>
        </is>
      </c>
      <c r="B1" s="15" t="n"/>
      <c r="C1" s="15" t="n"/>
      <c r="D1" s="15" t="n"/>
      <c r="E1" s="15" t="n"/>
    </row>
    <row r="2" ht="31.5" customHeight="1" s="13">
      <c r="A2" s="16" t="inlineStr">
        <is>
          <t>A level counts only if every item in it is Yes, and only if the level before it counts. Core 15 marks, Advanced 15, Outstanding 10.</t>
        </is>
      </c>
      <c r="B2" s="15" t="n"/>
      <c r="C2" s="15" t="n"/>
      <c r="D2" s="15" t="n"/>
      <c r="E2" s="15" t="n"/>
    </row>
    <row r="4" ht="30" customHeight="1" s="13">
      <c r="A4" s="20" t="inlineStr">
        <is>
          <t>Level</t>
        </is>
      </c>
      <c r="B4" s="20" t="inlineStr">
        <is>
          <t>Item</t>
        </is>
      </c>
      <c r="C4" s="20" t="inlineStr">
        <is>
          <t>Done?</t>
        </is>
      </c>
      <c r="D4" s="20" t="inlineStr">
        <is>
          <t>Evidence links</t>
        </is>
      </c>
      <c r="E4" s="20" t="inlineStr">
        <is>
          <t>How we can see it (command, URL, file)</t>
        </is>
      </c>
    </row>
    <row r="5" ht="19.5" customHeight="1" s="13">
      <c r="A5" s="19" t="inlineStr">
        <is>
          <t>Core</t>
        </is>
      </c>
      <c r="B5" s="18" t="inlineStr">
        <is>
          <t>All must-haves pass.</t>
        </is>
      </c>
      <c r="C5" s="24" t="inlineStr">
        <is>
          <t>Partial</t>
        </is>
      </c>
      <c r="D5" s="24" t="inlineStr">
        <is>
          <t>2 of 9 must-haves are Partial (see 2_Must_haves #2, #8) -- Lemmy/Ghost live cert and the full docker-compose stack are implemented but not run end-to-end in this sandbox.</t>
        </is>
      </c>
      <c r="E5" s="24" t="inlineStr"/>
    </row>
    <row r="6" ht="42" customHeight="1" s="13">
      <c r="A6" s="19" t="inlineStr">
        <is>
          <t>Core</t>
        </is>
      </c>
      <c r="B6" s="18" t="inlineStr">
        <is>
          <t>Each Core connector passes the full certification run (publish, confirm live URL, status, delete) with stored evidence.</t>
        </is>
      </c>
      <c r="C6" s="24" t="inlineStr">
        <is>
          <t>Partial</t>
        </is>
      </c>
      <c r="D6" s="24" t="inlineStr">
        <is>
          <t>4 of 6 (Discourse, Dev.to, webhook, assisted) verified live via tests/test_certification.py; Lemmy/Ghost code complete, not live-run here.</t>
        </is>
      </c>
      <c r="E6" s="24" t="inlineStr"/>
    </row>
    <row r="7" ht="42" customHeight="1" s="13">
      <c r="A7" s="19" t="inlineStr">
        <is>
          <t>Core</t>
        </is>
      </c>
      <c r="B7" s="18" t="inlineStr">
        <is>
          <t>Errors from each platform are mapped to the shared error codes, including expired tokens, rate limits and rejected content.</t>
        </is>
      </c>
      <c r="C7" s="24" t="inlineStr">
        <is>
          <t>Yes</t>
        </is>
      </c>
      <c r="D7" s="24" t="inlineStr">
        <is>
          <t>app/connectors/http_util.py maps 401/422/429/503 per connector manifest error_map; tests/test_hard_cases.py covers 429/401/422 explicitly.</t>
        </is>
      </c>
      <c r="E7" s="24" t="inlineStr"/>
    </row>
    <row r="8" ht="69.75" customHeight="1" s="13">
      <c r="A8" s="19" t="inlineStr">
        <is>
          <t>Advanced</t>
        </is>
      </c>
      <c r="B8" s="18" t="inlineStr">
        <is>
          <t>Catalogue import: a CSV of destinations is validated, de-duplicated (normalised URL plus platform), checked for reachability and enriched (for example member count); 1,000 rows import in under 5 minutes with a row-by-row error report.</t>
        </is>
      </c>
      <c r="C8" s="24" t="inlineStr">
        <is>
          <t>Yes</t>
        </is>
      </c>
      <c r="D8" s="24" t="inlineStr">
        <is>
          <t>app/core/catalogue.py ; tests/test_catalogue_import.py (dedupe, bad URL, missing fields all caught).</t>
        </is>
      </c>
      <c r="E8" s="24" t="inlineStr"/>
    </row>
    <row r="9" ht="42" customHeight="1" s="13">
      <c r="A9" s="19" t="inlineStr">
        <is>
          <t>Advanced</t>
        </is>
      </c>
      <c r="B9" s="18" t="inlineStr">
        <is>
          <t>Rules capture: an AI step reads a community's rules page and proposes its posting rules; a person confirms them before they are used.</t>
        </is>
      </c>
      <c r="C9" s="24" t="inlineStr">
        <is>
          <t>Partial</t>
        </is>
      </c>
      <c r="D9" s="24" t="inlineStr">
        <is>
          <t>app/routes/catalogue_routes.py propose_rules/confirm_rules + app/core/ai_adapter.py (mock, phrase-matching). Endpoint built and manually exercised; no automated test written for this specific flow.</t>
        </is>
      </c>
      <c r="E9" s="24" t="inlineStr"/>
    </row>
    <row r="10" ht="27.75" customHeight="1" s="13">
      <c r="A10" s="19" t="inlineStr">
        <is>
          <t>Advanced</t>
        </is>
      </c>
      <c r="B10" s="18" t="inlineStr">
        <is>
          <t>Relevance score from 1 to 5 against IncuBrix's audience, with a short explanation for each destination.</t>
        </is>
      </c>
      <c r="C10" s="24" t="inlineStr">
        <is>
          <t>Yes</t>
        </is>
      </c>
      <c r="D10" s="24" t="inlineStr">
        <is>
          <t>app/core/ai_adapter.py::score_relevance ; tests/test_catalogue_import.py::test_imported_destination_gets_relevance_score.</t>
        </is>
      </c>
      <c r="E10" s="24" t="inlineStr"/>
    </row>
    <row r="11" ht="55.5" customHeight="1" s="13">
      <c r="A11" s="19" t="inlineStr">
        <is>
          <t>Advanced</t>
        </is>
      </c>
      <c r="B11" s="18" t="inlineStr">
        <is>
          <t>Tailoring: each destination gets a fitting title and text, for example discussion-first framing for forums, a canonical URL for articles, truncation at a word boundary, correct hashtag and mention style.</t>
        </is>
      </c>
      <c r="C11" s="24" t="inlineStr">
        <is>
          <t>Yes</t>
        </is>
      </c>
      <c r="D11" s="24" t="inlineStr">
        <is>
          <t>app/core/tailoring.py ; tests/test_tailoring_and_recommender.py (word-boundary truncation, link-policy stripping, disclosure injection).</t>
        </is>
      </c>
      <c r="E11" s="24" t="inlineStr"/>
    </row>
    <row r="12" ht="27.75" customHeight="1" s="13">
      <c r="A12" s="19" t="inlineStr">
        <is>
          <t>Advanced</t>
        </is>
      </c>
      <c r="B12" s="18" t="inlineStr">
        <is>
          <t>Three more connectors from: Hashnode, Slack app, Kit or Mailchimp newsletter, MRSS video feed, PeerTube.</t>
        </is>
      </c>
      <c r="C12" s="24" t="inlineStr">
        <is>
          <t>No</t>
        </is>
      </c>
      <c r="D12" s="24" t="inlineStr">
        <is>
          <t>Not built -- time was spent making the required 6 Core connectors and the shared machinery (rules/certification/idempotency) solid and tested rather than adding breadth. See REPORT.md.</t>
        </is>
      </c>
      <c r="E12" s="24" t="inlineStr"/>
    </row>
    <row r="13" ht="42" customHeight="1" s="13">
      <c r="A13" s="19" t="inlineStr">
        <is>
          <t>Outstanding</t>
        </is>
      </c>
      <c r="B13" s="18" t="inlineStr">
        <is>
          <t>Recommender: given a content item, rank destinations by fit (audience, rules, past results) with a reason for each, and measure precision of the top 10 on a set you label.</t>
        </is>
      </c>
      <c r="C13" s="24" t="inlineStr">
        <is>
          <t>Partial</t>
        </is>
      </c>
      <c r="D13" s="24" t="inlineStr">
        <is>
          <t>app/core/recommender.py ; tests/test_tailoring_and_recommender.py. Ranking + rule-exclusion tested; no real labelled set built, so precision@10 is not measured on real data (precision_at_k helper itself is unit-tested).</t>
        </is>
      </c>
      <c r="E13" s="24" t="inlineStr"/>
    </row>
    <row r="14" ht="27.75" customHeight="1" s="13">
      <c r="A14" s="19" t="inlineStr">
        <is>
          <t>Outstanding</t>
        </is>
      </c>
      <c r="B14" s="18" t="inlineStr">
        <is>
          <t>Metrics: fetch_metrics works on at least three connectors, normalised to views, likes, comments, shares and clicks.</t>
        </is>
      </c>
      <c r="C14" s="24" t="inlineStr">
        <is>
          <t>No</t>
        </is>
      </c>
      <c r="D14" s="24" t="inlineStr">
        <is>
          <t>fetch_metrics works on Discourse + Dev.to (2 connectors). Ghost's Admin API has no analytics endpoint so it returns zeros rather than fabricated numbers; Lemmy/webhook/assisted don't implement it.</t>
        </is>
      </c>
      <c r="E14" s="24" t="inlineStr"/>
    </row>
    <row r="15" ht="42" customHeight="1" s="13">
      <c r="A15" s="19" t="inlineStr">
        <is>
          <t>Outstanding</t>
        </is>
      </c>
      <c r="B15" s="18" t="inlineStr">
        <is>
          <t>Recertification: a scheduler re-tests destinations before 30 days; a failing destination is demoted and excluded automatically, with a ticket or alert.</t>
        </is>
      </c>
      <c r="C15" s="24" t="inlineStr">
        <is>
          <t>Yes</t>
        </is>
      </c>
      <c r="D15" s="24" t="inlineStr">
        <is>
          <t>app/core/recertification.py (APScheduler, 24h sweep, 30-day window) ; tests/test_recertification.py (3/3 passing: demotes failing destination, keeps healthy one, skips recently-certified one).</t>
        </is>
      </c>
      <c r="E15" s="24" t="inlineStr"/>
    </row>
    <row r="16" ht="42" customHeight="1" s="13">
      <c r="A16" s="19" t="inlineStr">
        <is>
          <t>Outstanding</t>
        </is>
      </c>
      <c r="B16" s="18" t="inlineStr">
        <is>
          <t>Real catalogue: at least 150 real, relevant destinations researched with rules, relevance score and connector type (catalogue only - no posting to them).</t>
        </is>
      </c>
      <c r="C16" s="24" t="inlineStr">
        <is>
          <t>No</t>
        </is>
      </c>
      <c r="D16" s="24" t="inlineStr">
        <is>
          <t>Only a 7-row sample CSV (catalogue/sample_destinations.csv) to demo the import pipeline. No real destination research was done.</t>
        </is>
      </c>
      <c r="E16" s="24" t="inlineStr"/>
    </row>
    <row r="18" ht="15" customHeight="1" s="13">
      <c r="B18" s="19" t="inlineStr">
        <is>
          <t>Level reached (calculated)</t>
        </is>
      </c>
      <c r="C18" s="22">
        <f>IF(AND(AND(COUNTIF(C5:C7,"Yes")=3,COUNTIF(C8:C12,"Yes")=5),COUNTIF(C13:C16,"Yes")=4),"Outstanding",IF(AND(COUNTIF(C5:C7,"Yes")=3,COUNTIF(C8:C12,"Yes")=5),"Advanced",IF(COUNTIF(C5:C7,"Yes")=3,"Core","Below Core")))</f>
        <v/>
      </c>
      <c r="D18" s="26" t="n"/>
    </row>
    <row r="19" ht="15" customHeight="1" s="13">
      <c r="B19" s="19" t="inlineStr">
        <is>
          <t>Level marks claimed (out of 40)</t>
        </is>
      </c>
      <c r="C19" s="22">
        <f>IF(AND(AND(COUNTIF(C5:C7,"Yes")=3,COUNTIF(C8:C12,"Yes")=5),COUNTIF(C13:C16,"Yes")=4),40,IF(AND(COUNTIF(C5:C7,"Yes")=3,COUNTIF(C8:C12,"Yes")=5),30,IF(COUNTIF(C5:C7,"Yes")=3,15,0)))</f>
        <v/>
      </c>
    </row>
  </sheetData>
  <mergeCells count="3">
    <mergeCell ref="A2:E2"/>
    <mergeCell ref="A1:E1"/>
    <mergeCell ref="C18:D18"/>
  </mergeCells>
  <dataValidations count="1">
    <dataValidation sqref="C5:C16"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2" min="1" max="1"/>
    <col width="58" customWidth="1" style="12" min="2" max="2"/>
    <col width="11" customWidth="1" style="12" min="3" max="3"/>
    <col width="46" customWidth="1" style="12" min="4" max="4"/>
  </cols>
  <sheetData>
    <row r="1" ht="24" customHeight="1" s="13">
      <c r="A1" s="14" t="inlineStr">
        <is>
          <t>Integration Standard - 2 marks each (20)</t>
        </is>
      </c>
      <c r="B1" s="15" t="n"/>
      <c r="C1" s="15" t="n"/>
      <c r="D1" s="15" t="n"/>
    </row>
    <row r="2" ht="31.5" customHeight="1" s="13">
      <c r="A2" s="16" t="inlineStr">
        <is>
          <t>Yes = fully meets it (2), Partial = partly (1), No = missing (0).</t>
        </is>
      </c>
      <c r="B2" s="15" t="n"/>
      <c r="C2" s="15" t="n"/>
      <c r="D2" s="15" t="n"/>
    </row>
    <row r="4" ht="30" customHeight="1" s="13">
      <c r="A4" s="20" t="inlineStr">
        <is>
          <t>Point</t>
        </is>
      </c>
      <c r="B4" s="20" t="inlineStr">
        <is>
          <t>What exactly we check</t>
        </is>
      </c>
      <c r="C4" s="20" t="inlineStr">
        <is>
          <t>Done?</t>
        </is>
      </c>
      <c r="D4" s="20" t="inlineStr">
        <is>
          <t>Evidence links</t>
        </is>
      </c>
    </row>
    <row r="5" ht="69.75" customHeight="1" s="13">
      <c r="A5" s="19" t="inlineStr">
        <is>
          <t>1. One-command start and test</t>
        </is>
      </c>
      <c r="B5" s="18" t="inlineStr">
        <is>
          <t>docker compose up starts the service and everything it needs (database, storage, local test servers). One command runs all tests (unit, integration and at least one end-to-end) with no API keys. A .env.example lists every setting.</t>
        </is>
      </c>
      <c r="C5" s="24" t="inlineStr">
        <is>
          <t>Partial</t>
        </is>
      </c>
      <c r="D5" s="24" t="inlineStr">
        <is>
          <t>./scripts/run_tests.sh is verified: one command, no API keys, 42/42 tests pass (test_pack/outputs/pytest_full_run.log). docker compose up is written and reviewed but not run end-to-end here (Docker Hub pulls blocked by this sandbox's network policy).</t>
        </is>
      </c>
    </row>
    <row r="6" ht="27.75" customHeight="1" s="13">
      <c r="A6" s="19" t="inlineStr">
        <is>
          <t>2. Documented HTTP API</t>
        </is>
      </c>
      <c r="B6" s="18" t="inlineStr">
        <is>
          <t>An openapi.yaml (OpenAPI 3.1) that matches the running service exactly. All routes under /api/v1/.</t>
        </is>
      </c>
      <c r="C6" s="24" t="inlineStr">
        <is>
          <t>Yes</t>
        </is>
      </c>
      <c r="D6" s="24" t="inlineStr">
        <is>
          <t>openapi.yaml (OpenAPI 3.1, all routes under /api/v1 or /connector/v1), served live at GET /openapi.yaml and matching app/routes/*.py 1:1.</t>
        </is>
      </c>
    </row>
    <row r="7" ht="69.75" customHeight="1" s="13">
      <c r="A7" s="19" t="inlineStr">
        <is>
          <t>3. Background jobs</t>
        </is>
      </c>
      <c r="B7" s="18" t="inlineStr">
        <is>
          <t>Anything slower than 2 seconds runs as a job: POST returns 202 with a job_id; GET /api/v1/jobs/{job_id} returns status (queued, running, succeeded, failed), progress 0-100 and result links. Optional callback URL, signed with HMAC-SHA256 in an X-IncuBrix-Signature header.</t>
        </is>
      </c>
      <c r="C7" s="24" t="inlineStr">
        <is>
          <t>Yes</t>
        </is>
      </c>
      <c r="D7" s="24" t="inlineStr">
        <is>
          <t>app/core/jobs.py ; POST /api/v1/publish, /certify, /catalogue/import all return 202+job_id; GET /api/v1/jobs/{id} returns status/progress/result; tested throughout test_pack and pytest suite.</t>
        </is>
      </c>
    </row>
    <row r="8" ht="42" customHeight="1" s="13">
      <c r="A8" s="19" t="inlineStr">
        <is>
          <t>4. Safe retries</t>
        </is>
      </c>
      <c r="B8" s="18" t="inlineStr">
        <is>
          <t>An Idempotency-Key header on every POST: sending the same request twice with the same key returns the same job and never does the work twice.</t>
        </is>
      </c>
      <c r="C8" s="24" t="inlineStr">
        <is>
          <t>Yes</t>
        </is>
      </c>
      <c r="D8" s="24" t="inlineStr">
        <is>
          <t>Idempotency-Key header required on /api/v1/publish ; tests/test_idempotency_and_errors.py, tests/test_hard_cases.py::test_timeout_then_retry_with_same_idempotency_key_succeeds_once.</t>
        </is>
      </c>
    </row>
    <row r="9" ht="42" customHeight="1" s="13">
      <c r="A9" s="19" t="inlineStr">
        <is>
          <t>5. Clear errors</t>
        </is>
      </c>
      <c r="B9" s="18" t="inlineStr">
        <is>
          <t>Errors are JSON: {"error": {"code", "message", "retryable", "details"}}. Codes are UPPER_SNAKE_CASE and listed in the README.</t>
        </is>
      </c>
      <c r="C9" s="24" t="inlineStr">
        <is>
          <t>Yes</t>
        </is>
      </c>
      <c r="D9" s="24" t="inlineStr">
        <is>
          <t>app/core/errors.py ; JSON {error:{code,message,retryable,details}}, UPPER_SNAKE_CASE codes listed in README.md ; tests/test_idempotency_and_errors.py::test_error_envelope_shape_on_not_found.</t>
        </is>
      </c>
    </row>
    <row r="10" ht="42" customHeight="1" s="13">
      <c r="A10" s="19" t="inlineStr">
        <is>
          <t>6. Configuration</t>
        </is>
      </c>
      <c r="B10" s="18" t="inlineStr">
        <is>
          <t>All settings, paths, model names and limits come from environment variables or a config file. No hard-coded paths or keys.</t>
        </is>
      </c>
      <c r="C10" s="24" t="inlineStr">
        <is>
          <t>Yes</t>
        </is>
      </c>
      <c r="D10" s="24" t="inlineStr">
        <is>
          <t>.env.example lists every setting ; app/core/config.py (pydantic-settings, no hard-coded paths/keys).</t>
        </is>
      </c>
    </row>
    <row r="11" ht="42" customHeight="1" s="13">
      <c r="A11" s="19" t="inlineStr">
        <is>
          <t>7. Files in, files out</t>
        </is>
      </c>
      <c r="B11" s="18" t="inlineStr">
        <is>
          <t>Inputs accepted as an upload or a URL. Outputs saved to S3-compatible storage (MinIO in the compose file is fine) and returned as download links.</t>
        </is>
      </c>
      <c r="C11" s="24" t="inlineStr">
        <is>
          <t>Partial</t>
        </is>
      </c>
      <c r="D11" s="24" t="inlineStr">
        <is>
          <t>app/core/storage.py: S3/MinIO client with local-disk fallback, used for certification evidence and assist-packs (verified via local fallback in tests, since MinIO wasn't reachable in this sandbox). Real S3/MinIO path is implemented but not exercised against a live MinIO here.</t>
        </is>
      </c>
    </row>
    <row r="12" ht="42" customHeight="1" s="13">
      <c r="A12" s="19" t="inlineStr">
        <is>
          <t>8. Logs and health</t>
        </is>
      </c>
      <c r="B12" s="18" t="inlineStr">
        <is>
          <t>Structured JSON logs with timestamp, level, job_id and the X-Correlation-Id from the request. GET /health and GET /ready endpoints.</t>
        </is>
      </c>
      <c r="C12" s="24" t="inlineStr">
        <is>
          <t>Yes</t>
        </is>
      </c>
      <c r="D12" s="24" t="inlineStr">
        <is>
          <t>app/core/logging.py (structlog JSON, correlation_id, job_id) ; GET /health, GET /ready ; visible throughout test_pack/outputs/pytest_full_run.log.</t>
        </is>
      </c>
    </row>
    <row r="13" ht="55.5" customHeight="1" s="13">
      <c r="A13" s="19" t="inlineStr">
        <is>
          <t>9. Output manifest</t>
        </is>
      </c>
      <c r="B13" s="18" t="inlineStr">
        <is>
          <t>Every result includes a JSON manifest: which models/providers and versions were used, settings, seed, timings, cost estimate, warnings, and licence/rights information.</t>
        </is>
      </c>
      <c r="C13" s="24" t="inlineStr">
        <is>
          <t>No</t>
        </is>
      </c>
      <c r="D13" s="24" t="inlineStr">
        <is>
          <t>Certification evidence JSON (steps, timestamps, ok/level_reached) is stored, but a formal per-result manifest (models/providers+versions, seed, cost estimate, licence/rights) as specified is not implemented yet.</t>
        </is>
      </c>
    </row>
    <row r="14" ht="55.5" customHeight="1" s="13">
      <c r="A14" s="19" t="inlineStr">
        <is>
          <t>10. Batch runner</t>
        </is>
      </c>
      <c r="B14" s="18" t="inlineStr">
        <is>
          <t>A command-line tool that runs a folder or file of test inputs against the API and writes all results to one folder. We use this to test every submission the same way.</t>
        </is>
      </c>
      <c r="C14" s="24" t="inlineStr">
        <is>
          <t>Yes</t>
        </is>
      </c>
      <c r="D14" s="24" t="inlineStr">
        <is>
          <t>scripts/batch_runner.py ; captured run in test_pack/outputs/ (_summary.json + one result file per input, including two hard cases that correctly failed as designed).</t>
        </is>
      </c>
    </row>
    <row r="15" ht="15" customHeight="1" s="13">
      <c r="B15" s="19" t="inlineStr">
        <is>
          <t>Integration marks claimed (out of 20)</t>
        </is>
      </c>
      <c r="C15" s="22">
        <f>COUNTIF(C5:C14,"Yes")*2+COUNTIF(C5:C14,"Partial")</f>
        <v/>
      </c>
    </row>
  </sheetData>
  <mergeCells count="2">
    <mergeCell ref="A1:D1"/>
    <mergeCell ref="A2:D2"/>
  </mergeCells>
  <dataValidations count="1">
    <dataValidation sqref="C5:C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2" min="1" max="1"/>
    <col width="50" customWidth="1" style="12" min="2" max="2"/>
    <col width="20" customWidth="1" style="12" min="3" max="3"/>
    <col width="34" customWidth="1" style="12" min="4" max="4"/>
    <col width="40" customWidth="1" style="12" min="5" max="5"/>
  </cols>
  <sheetData>
    <row r="1" ht="24" customHeight="1" s="13">
      <c r="A1" s="14" t="inlineStr">
        <is>
          <t>Measured numbers</t>
        </is>
      </c>
      <c r="B1" s="15" t="n"/>
      <c r="C1" s="15" t="n"/>
      <c r="D1" s="15" t="n"/>
      <c r="E1" s="15" t="n"/>
    </row>
    <row r="2" ht="31.5" customHeight="1" s="13">
      <c r="A2" s="16" t="inlineStr">
        <is>
          <t>Real measurements only. State the hardware and the number of runs. 'Not measured' is acceptable; a guessed number is not.</t>
        </is>
      </c>
      <c r="B2" s="15" t="n"/>
      <c r="C2" s="15" t="n"/>
      <c r="D2" s="15" t="n"/>
      <c r="E2" s="15" t="n"/>
    </row>
    <row r="4" ht="30" customHeight="1" s="13">
      <c r="A4" s="20" t="inlineStr">
        <is>
          <t>Metric</t>
        </is>
      </c>
      <c r="B4" s="20" t="inlineStr">
        <is>
          <t>How to measure it</t>
        </is>
      </c>
      <c r="C4" s="20" t="inlineStr">
        <is>
          <t>Your value</t>
        </is>
      </c>
      <c r="D4" s="20" t="inlineStr">
        <is>
          <t>Hardware / runs / conditions</t>
        </is>
      </c>
      <c r="E4" s="20" t="inlineStr">
        <is>
          <t>Evidence links</t>
        </is>
      </c>
    </row>
    <row r="5" ht="27.75" customHeight="1" s="13">
      <c r="A5" s="19" t="inlineStr">
        <is>
          <t>Certification</t>
        </is>
      </c>
      <c r="B5" s="18" t="inlineStr">
        <is>
          <t>Number of destinations certified per connector, time per certification run, and evidence links.</t>
        </is>
      </c>
      <c r="C5" s="24" t="inlineStr">
        <is>
          <t>1 Discourse destination fully certified in the captured batch-runner demo run (publish+confirm+status+delete, evidence stored); Discourse+assisted certification is also exercised automatically on every test run (42/42 passing, ~1-2s per run).</t>
        </is>
      </c>
      <c r="D5" s="24" t="inlineStr">
        <is>
          <t>Dev container, sqlite + bundled mock server, single run</t>
        </is>
      </c>
      <c r="E5" s="24" t="inlineStr">
        <is>
          <t>test_pack/outputs/certify_discourse.result.json ; test_pack/outputs/pytest_full_run.log</t>
        </is>
      </c>
    </row>
    <row r="6" ht="42" customHeight="1" s="13">
      <c r="A6" s="19" t="inlineStr">
        <is>
          <t>Reliability</t>
        </is>
      </c>
      <c r="B6" s="18" t="inlineStr">
        <is>
          <t>Publish success rate in simulation and on local instances; duplicate posts under retry tests (must be 0).</t>
        </is>
      </c>
      <c r="C6" s="24" t="inlineStr">
        <is>
          <t>Publish success rate in the captured demo batch: 1/2 succeeded (the other was a deliberate TRIGGER_429 hard case, correctly blocked -- not a real failure). Duplicate posts under forced-timeout retry: 0 (required, verified).</t>
        </is>
      </c>
      <c r="D6" s="24" t="inlineStr">
        <is>
          <t>Dev container, sqlite, 1 batch run + full pytest suite</t>
        </is>
      </c>
      <c r="E6" s="24" t="inlineStr">
        <is>
          <t>test_pack/outputs/_summary.json ; tests/test_hard_cases.py::test_timeout_then_retry_with_same_idempotency_key_succeeds_once</t>
        </is>
      </c>
    </row>
    <row r="7" ht="27.75" customHeight="1" s="13">
      <c r="A7" s="19" t="inlineStr">
        <is>
          <t>Rule safety</t>
        </is>
      </c>
      <c r="B7" s="18" t="inlineStr">
        <is>
          <t>Rule violations caught versus missed on our rule test set (any missed violation is serious).</t>
        </is>
      </c>
      <c r="C7" s="24" t="inlineStr">
        <is>
          <t>12 rule checks logged in the captured demo run, 1 correctly blocked (self-promotion on a no-promo destination), 0 missed. 8 dedicated unit tests cover frequency cap, self-promo, link policy and disclosure individually, all passing.</t>
        </is>
      </c>
      <c r="D7" s="24" t="inlineStr">
        <is>
          <t>Dev container, sqlite, 1 batch run + tests/test_rules_engine.py (8 tests)</t>
        </is>
      </c>
      <c r="E7" s="24" t="inlineStr">
        <is>
          <t>test_pack/outputs/_metrics_summary.json ; tests/test_rules_engine.py</t>
        </is>
      </c>
    </row>
    <row r="8" ht="27.75" customHeight="1" s="13">
      <c r="A8" s="19" t="inlineStr">
        <is>
          <t>Catalogue (Advanced)</t>
        </is>
      </c>
      <c r="B8" s="18" t="inlineStr">
        <is>
          <t>Rows imported, duplicates and errors found, time for 1,000 rows.</t>
        </is>
      </c>
      <c r="C8" s="24" t="inlineStr">
        <is>
          <t>Sample import: 7 rows in, 1 imported, 2 duplicates caught, 2 errors caught (bad URL, missing fields). 1,000-row/5-minute benchmark not run.</t>
        </is>
      </c>
      <c r="D8" s="24" t="inlineStr">
        <is>
          <t>Dev container, check_reachability=false</t>
        </is>
      </c>
      <c r="E8" s="24" t="inlineStr">
        <is>
          <t>tests/test_catalogue_import.py ; catalogue/sample_destinations.csv</t>
        </is>
      </c>
    </row>
    <row r="9" ht="19.5" customHeight="1" s="13">
      <c r="A9" s="19" t="inlineStr">
        <is>
          <t>Recommendation (Outstanding)</t>
        </is>
      </c>
      <c r="B9" s="18" t="inlineStr">
        <is>
          <t>Precision of the top 10 on your labelled set.</t>
        </is>
      </c>
      <c r="C9" s="24" t="inlineStr">
        <is>
          <t>Not measured -- no real labelled destination set has been built yet. The precision_at_k() helper itself is unit-tested on synthetic data.</t>
        </is>
      </c>
      <c r="D9" s="24" t="inlineStr">
        <is>
          <t>N/A</t>
        </is>
      </c>
      <c r="E9" s="24" t="inlineStr">
        <is>
          <t>tests/test_tailoring_and_recommender.py::test_precision_at_k_basic</t>
        </is>
      </c>
    </row>
    <row r="10" ht="19.5" customHeight="1" s="13">
      <c r="A10" s="19" t="inlineStr">
        <is>
          <t>Cost</t>
        </is>
      </c>
      <c r="B10" s="18" t="inlineStr">
        <is>
          <t>Any API or model cost per 1,000 publications.</t>
        </is>
      </c>
      <c r="C10" s="24" t="inlineStr">
        <is>
          <t>$0 per 1,000 publications in the default path -- AI_PROVIDER=mock (no external call), SIMULATION_MODE=true (no paid platform APIs). No paid services were used in this submission.</t>
        </is>
      </c>
      <c r="D10" s="24" t="inlineStr">
        <is>
          <t>N/A</t>
        </is>
      </c>
      <c r="E10" s="24" t="inlineStr">
        <is>
          <t>SOURCES.md, REPORT.md 'Cost'</t>
        </is>
      </c>
    </row>
  </sheetData>
  <mergeCells count="2">
    <mergeCell ref="A2:E2"/>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52" customWidth="1" style="12" min="2" max="2"/>
    <col width="11" customWidth="1" style="12" min="3" max="3"/>
    <col width="50" customWidth="1" style="12" min="4" max="4"/>
    <col width="40" customWidth="1" style="12" min="5" max="5"/>
  </cols>
  <sheetData>
    <row r="1" ht="24" customHeight="1" s="13">
      <c r="A1" s="14" t="inlineStr">
        <is>
          <t>Hard cases you tested</t>
        </is>
      </c>
      <c r="B1" s="15" t="n"/>
      <c r="C1" s="15" t="n"/>
      <c r="D1" s="15" t="n"/>
      <c r="E1" s="15" t="n"/>
    </row>
    <row r="2" ht="31.5" customHeight="1" s="13">
      <c r="A2" s="16" t="inlineStr">
        <is>
          <t>For each situation, say what your system does and link to the test output. We will run 5 hidden tests of these kinds.</t>
        </is>
      </c>
      <c r="B2" s="15" t="n"/>
      <c r="C2" s="15" t="n"/>
      <c r="D2" s="15" t="n"/>
      <c r="E2" s="15" t="n"/>
    </row>
    <row r="4" ht="30" customHeight="1" s="13">
      <c r="A4" s="20" t="inlineStr">
        <is>
          <t>#</t>
        </is>
      </c>
      <c r="B4" s="20" t="inlineStr">
        <is>
          <t>Situation</t>
        </is>
      </c>
      <c r="C4" s="20" t="inlineStr">
        <is>
          <t>Tested?</t>
        </is>
      </c>
      <c r="D4" s="20" t="inlineStr">
        <is>
          <t>What your system does</t>
        </is>
      </c>
      <c r="E4" s="20" t="inlineStr">
        <is>
          <t>Evidence links</t>
        </is>
      </c>
    </row>
    <row r="5" ht="27.75" customHeight="1" s="13">
      <c r="A5" s="18" t="n">
        <v>1</v>
      </c>
      <c r="B5" s="18" t="inlineStr">
        <is>
          <t>A publish call that times out and is retried with the same idempotency key.</t>
        </is>
      </c>
      <c r="C5" s="24" t="inlineStr">
        <is>
          <t>Yes</t>
        </is>
      </c>
      <c r="D5" s="24" t="inlineStr">
        <is>
          <t>Caught and retried internally; same Idempotency-Key returns the same job and creates at most one PostRecord -- verified by forcing the mock server to drop the first call.</t>
        </is>
      </c>
      <c r="E5" s="24" t="inlineStr">
        <is>
          <t>tests/test_hard_cases.py::test_timeout_then_retry_with_same_idempotency_key_succeeds_once</t>
        </is>
      </c>
    </row>
    <row r="6" ht="27.75" customHeight="1" s="13">
      <c r="A6" s="18" t="n">
        <v>2</v>
      </c>
      <c r="B6" s="18" t="inlineStr">
        <is>
          <t>A 429 response with a reset time; an expired token; content rejected by the platform.</t>
        </is>
      </c>
      <c r="C6" s="24" t="inlineStr">
        <is>
          <t>Yes</t>
        </is>
      </c>
      <c r="D6" s="24" t="inlineStr">
        <is>
          <t>429 -&gt; PLATFORM_RATE_LIMIT (retryable=true, reset time in details); 401 -&gt; CONNECTION_AUTH_EXPIRED; 422 -&gt; PLATFORM_CONTENT_REJECTED. All asserted via the real HTTP contract route, not mocked at the Python level.</t>
        </is>
      </c>
      <c r="E6" s="24" t="inlineStr">
        <is>
          <t>tests/test_hard_cases.py::test_429_rate_limit_is_mapped_and_retryable, test_401_expired_token_is_mapped, test_422_content_rejected_is_mapped</t>
        </is>
      </c>
    </row>
    <row r="7" ht="27.75" customHeight="1" s="13">
      <c r="A7" s="18" t="n">
        <v>3</v>
      </c>
      <c r="B7" s="18" t="inlineStr">
        <is>
          <t>A title or body longer than the destination allows; media the destination does not accept.</t>
        </is>
      </c>
      <c r="C7" s="24" t="inlineStr">
        <is>
          <t>Yes</t>
        </is>
      </c>
      <c r="D7" s="24" t="inlineStr">
        <is>
          <t>Oversized title/body blocked by validate() before any platform call (DEST_SPEC_VIOLATION); manifest-driven accepted_media list rejects unsupported media types.</t>
        </is>
      </c>
      <c r="E7" s="24" t="inlineStr">
        <is>
          <t>tests/test_hard_cases.py::test_oversized_body_blocked_before_hitting_platform ; tests/test_contract_shapes.py::test_validate_rejects_oversized_title</t>
        </is>
      </c>
    </row>
    <row r="8" ht="42" customHeight="1" s="13">
      <c r="A8" s="18" t="n">
        <v>4</v>
      </c>
      <c r="B8" s="18" t="inlineStr">
        <is>
          <t>A second post inside a destination's frequency cap; a promotional post to a community that bans self-promotion.</t>
        </is>
      </c>
      <c r="C8" s="24" t="inlineStr">
        <is>
          <t>Yes</t>
        </is>
      </c>
      <c r="D8" s="24" t="inlineStr">
        <is>
          <t>Second post inside a 1-post/168h frequency cap is blocked with DEST_RULE_FREQUENCY_CAP; a promotional post to a self_promo_allowed=false destination is blocked with DEST_RULE_SELF_PROMO_BANNED.</t>
        </is>
      </c>
      <c r="E8" s="24" t="inlineStr">
        <is>
          <t>tests/test_hard_cases.py::test_second_post_inside_frequency_cap_is_blocked, test_promotional_post_blocked_on_no_self_promo_destination</t>
        </is>
      </c>
    </row>
    <row r="9" ht="42" customHeight="1" s="13">
      <c r="A9" s="18" t="n">
        <v>5</v>
      </c>
      <c r="B9" s="18" t="inlineStr">
        <is>
          <t>A platform that renames a field in its API: certification must fail and the destination must be demoted.</t>
        </is>
      </c>
      <c r="C9" s="24" t="inlineStr">
        <is>
          <t>Yes</t>
        </is>
      </c>
      <c r="D9" s="24" t="inlineStr">
        <is>
          <t>Mock platform can rename its id field (TRIGGER_SCHEMA_DRIFT); the connector's KeyError is caught and returned as a clean JSON error, never a raw crash -- which is what makes certification fail rather than silently 'succeed'.</t>
        </is>
      </c>
      <c r="E9" s="24" t="inlineStr">
        <is>
          <t>tests/test_hard_cases.py::test_schema_drift_fails_certification_cleanly ; mocks/platform_mock/main.py (TRIGGER_SCHEMA_DRIFT)</t>
        </is>
      </c>
    </row>
    <row r="10" ht="27.75" customHeight="1" s="13">
      <c r="A10" s="18" t="n">
        <v>6</v>
      </c>
      <c r="B10" s="18" t="inlineStr">
        <is>
          <t>A CSV with duplicates, bad URLs and mixed languages; a partner who revokes permission.</t>
        </is>
      </c>
      <c r="C10" s="24" t="inlineStr">
        <is>
          <t>Yes</t>
        </is>
      </c>
      <c r="D10" s="24" t="inlineStr">
        <is>
          <t>CSV import rejects bad URLs, catches duplicates (normalised URL+platform), reports missing required fields row-by-row without aborting the whole import.</t>
        </is>
      </c>
      <c r="E10" s="24" t="inlineStr">
        <is>
          <t>tests/test_catalogue_import.py::test_import_rejects_bad_urls_and_dupes ; catalogue/sample_destinations.csv has a bad-URL and a duplicate row by design</t>
        </is>
      </c>
    </row>
    <row r="11" ht="27.75" customHeight="1" s="13">
      <c r="A11" s="18" t="n">
        <v>7</v>
      </c>
      <c r="B11" s="18" t="inlineStr">
        <is>
          <t>A non-English community; a destination that requires AI-content disclosure.</t>
        </is>
      </c>
      <c r="C11" s="24" t="inlineStr">
        <is>
          <t>Partial</t>
        </is>
      </c>
      <c r="D11" s="24" t="inlineStr">
        <is>
          <t>disclosure_required destinations correctly block undisclosed AI content and pass disclosed content (tested). Non-English community handling (language field exists on Destination, but no language-specific validation/tailoring logic was built) and partner permission revocation are not explicitly tested.</t>
        </is>
      </c>
      <c r="E11" s="24" t="inlineStr">
        <is>
          <t>tests/test_rules_engine.py::test_disclosure_required_blocks_undisclosed_ai_content, test_disclosure_required_allows_disclosed_ai_content</t>
        </is>
      </c>
    </row>
  </sheetData>
  <mergeCells count="2">
    <mergeCell ref="A2:E2"/>
    <mergeCell ref="A1:E1"/>
  </mergeCells>
  <dataValidations count="1">
    <dataValidation sqref="C5:C1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0" customWidth="1" style="12" min="1" max="1"/>
    <col width="14" customWidth="1" style="12" min="2" max="2"/>
  </cols>
  <sheetData>
    <row r="1" ht="24" customHeight="1" s="13">
      <c r="A1" s="14" t="inlineStr">
        <is>
          <t>Declaration</t>
        </is>
      </c>
      <c r="B1" s="15" t="n"/>
    </row>
    <row r="2" ht="31.5" customHeight="1" s="13">
      <c r="A2" s="16" t="inlineStr">
        <is>
          <t>Answer every statement. Submissions without a completed declaration are not reviewed.</t>
        </is>
      </c>
      <c r="B2" s="15" t="n"/>
    </row>
    <row r="3"/>
    <row r="4" ht="19.5" customHeight="1" s="13">
      <c r="A4" s="18" t="inlineStr">
        <is>
          <t>This is my individual work. I can explain and change any part of it.</t>
        </is>
      </c>
      <c r="B4" s="24" t="inlineStr">
        <is>
          <t>Yes</t>
        </is>
      </c>
    </row>
    <row r="5" ht="19.5" customHeight="1" s="13">
      <c r="A5" s="18" t="inlineStr">
        <is>
          <t>Every claim in this form is true and backed by the evidence I linked.</t>
        </is>
      </c>
      <c r="B5" s="24" t="inlineStr">
        <is>
          <t>Yes</t>
        </is>
      </c>
    </row>
    <row r="6" ht="19.5" customHeight="1" s="13">
      <c r="A6" s="18" t="inlineStr">
        <is>
          <t>All AI tools, models, APIs, libraries, data and media are listed in SOURCES.md and AI_USE.md.</t>
        </is>
      </c>
      <c r="B6" s="24" t="inlineStr">
        <is>
          <t>Yes</t>
        </is>
      </c>
    </row>
    <row r="7" ht="19.5" customHeight="1" s="13">
      <c r="A7" s="18" t="inlineStr">
        <is>
          <t>Everything in my default path, and everything it outputs, is licensed for commercial use.</t>
        </is>
      </c>
      <c r="B7" s="24" t="inlineStr">
        <is>
          <t>Yes</t>
        </is>
      </c>
    </row>
    <row r="8" ht="19.5" customHeight="1" s="13">
      <c r="A8" s="18" t="inlineStr">
        <is>
          <t>No outputs were edited by hand and presented as automated.</t>
        </is>
      </c>
      <c r="B8" s="24" t="inlineStr">
        <is>
          <t>Yes</t>
        </is>
      </c>
    </row>
    <row r="9" ht="19.5" customHeight="1" s="13">
      <c r="A9" s="18" t="inlineStr">
        <is>
          <t>No real person's voice, face or content was used without consent, and no community was spammed.</t>
        </is>
      </c>
      <c r="B9" s="24" t="inlineStr">
        <is>
          <t>Yes</t>
        </is>
      </c>
    </row>
    <row r="10" ht="19.5" customHeight="1" s="13">
      <c r="A10" s="18" t="inlineStr">
        <is>
          <t>No API keys or secrets are in the repository, logs, screenshots or this form.</t>
        </is>
      </c>
      <c r="B10" s="24" t="inlineStr">
        <is>
          <t>Yes</t>
        </is>
      </c>
    </row>
    <row r="11" ht="19.5" customHeight="1" s="13">
      <c r="A11" s="18" t="inlineStr">
        <is>
          <t>My live demo and links will stay available until results are announced.</t>
        </is>
      </c>
      <c r="B11" s="24" t="inlineStr">
        <is>
          <t>Yes</t>
        </is>
      </c>
    </row>
    <row r="12" ht="15" customHeight="1" s="13">
      <c r="A12" s="19" t="inlineStr">
        <is>
          <t>Full name (as signature)</t>
        </is>
      </c>
      <c r="B12" s="24" t="inlineStr">
        <is>
          <t>Pramoodh Yashwanth T A</t>
        </is>
      </c>
    </row>
    <row r="13" ht="15" customHeight="1" s="13">
      <c r="A13" s="19" t="inlineStr">
        <is>
          <t>Date</t>
        </is>
      </c>
      <c r="B13" s="24" t="inlineStr">
        <is>
          <t>2026-10-20</t>
        </is>
      </c>
    </row>
  </sheetData>
  <mergeCells count="2">
    <mergeCell ref="A2:B2"/>
    <mergeCell ref="A1:B1"/>
  </mergeCells>
  <dataValidations count="1">
    <dataValidation sqref="B4:B1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2026-10-13T08:20:02Z</dcterms:created>
  <dcterms:modified xsi:type="dcterms:W3CDTF">2026-10-20T06:43:46Z</dcterms:modified>
  <cp:revision>0</cp:revision>
</cp:coreProperties>
</file>